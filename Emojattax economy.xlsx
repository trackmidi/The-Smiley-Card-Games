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enistonegrammarschool-my.sharepoint.com/personal/henrygreen_penistone-gs_uk/Documents/"/>
    </mc:Choice>
  </mc:AlternateContent>
  <xr:revisionPtr revIDLastSave="0" documentId="8_{D5BC2767-FC55-4E2F-BAB3-0726EC8EAD51}" xr6:coauthVersionLast="47" xr6:coauthVersionMax="47" xr10:uidLastSave="{00000000-0000-0000-0000-000000000000}"/>
  <bookViews>
    <workbookView xWindow="-110" yWindow="-110" windowWidth="19420" windowHeight="11500" tabRatio="451" activeTab="1" xr2:uid="{B7B09C3A-F7D3-4CA4-B9CE-D54B6A9371E2}"/>
  </bookViews>
  <sheets>
    <sheet name="Card rarity" sheetId="1" r:id="rId1"/>
    <sheet name="New chances" sheetId="6" r:id="rId2"/>
    <sheet name="Sales" sheetId="4" r:id="rId3"/>
    <sheet name="Price &amp; Order Scheme"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6" l="1"/>
  <c r="D69" i="6"/>
  <c r="D68" i="6"/>
  <c r="B71" i="6"/>
  <c r="C71" i="6"/>
  <c r="D64" i="6"/>
  <c r="H2" i="4"/>
  <c r="F11" i="2"/>
  <c r="G11" i="2" s="1"/>
  <c r="B6" i="2"/>
  <c r="E11" i="2"/>
  <c r="D11" i="2"/>
  <c r="C11" i="2"/>
  <c r="H2" i="2"/>
  <c r="H3" i="2"/>
  <c r="G6" i="2"/>
  <c r="H5" i="2"/>
  <c r="G2" i="4"/>
  <c r="C6" i="2"/>
  <c r="D6" i="2"/>
  <c r="E6" i="2"/>
  <c r="F6" i="2"/>
  <c r="H2" i="1"/>
  <c r="D67" i="6" l="1"/>
  <c r="D27" i="6"/>
  <c r="D60" i="6"/>
  <c r="D61" i="6"/>
  <c r="D62" i="6"/>
  <c r="D63" i="6"/>
  <c r="D65" i="6"/>
  <c r="D66" i="6"/>
  <c r="D54" i="6"/>
  <c r="D52" i="6"/>
  <c r="D53" i="6"/>
  <c r="D55" i="6"/>
  <c r="D56" i="6"/>
  <c r="D57" i="6"/>
  <c r="D58" i="6"/>
  <c r="D59" i="6"/>
  <c r="D44" i="6"/>
  <c r="D49" i="6"/>
  <c r="D45" i="6"/>
  <c r="D46" i="6"/>
  <c r="D47" i="6"/>
  <c r="D50" i="6"/>
  <c r="D51" i="6"/>
  <c r="D39" i="6"/>
  <c r="D48" i="6"/>
  <c r="G4" i="2"/>
  <c r="D32" i="6"/>
  <c r="D33" i="6"/>
  <c r="D34" i="6"/>
  <c r="D35" i="6"/>
  <c r="D36" i="6"/>
  <c r="D37" i="6"/>
  <c r="D38" i="6"/>
  <c r="D40" i="6"/>
  <c r="D41" i="6"/>
  <c r="D42" i="6"/>
  <c r="D28" i="6"/>
  <c r="D29" i="6"/>
  <c r="D30" i="6"/>
  <c r="D31" i="6"/>
  <c r="D43" i="6"/>
  <c r="D4" i="6"/>
  <c r="D5" i="6"/>
  <c r="D6" i="6"/>
  <c r="D7" i="6"/>
  <c r="D8" i="6"/>
  <c r="D3" i="6"/>
  <c r="D9" i="6"/>
  <c r="D10" i="6"/>
  <c r="D11" i="6"/>
  <c r="D12" i="6"/>
  <c r="D14" i="6"/>
  <c r="D2" i="6"/>
  <c r="D16" i="6"/>
  <c r="D15" i="6"/>
  <c r="D17" i="6"/>
  <c r="D18" i="6"/>
  <c r="D19" i="6"/>
  <c r="D20" i="6"/>
  <c r="D21" i="6"/>
  <c r="D22" i="6"/>
  <c r="D23" i="6"/>
  <c r="D24" i="6"/>
  <c r="D13" i="6"/>
  <c r="D25" i="6"/>
  <c r="D26" i="6"/>
  <c r="H6" i="2"/>
  <c r="B4" i="2"/>
  <c r="D4" i="2"/>
  <c r="C4" i="2"/>
  <c r="E4" i="2"/>
  <c r="F4" i="2"/>
  <c r="D71" i="6" l="1"/>
  <c r="H4" i="2"/>
</calcChain>
</file>

<file path=xl/sharedStrings.xml><?xml version="1.0" encoding="utf-8"?>
<sst xmlns="http://schemas.openxmlformats.org/spreadsheetml/2006/main" count="139" uniqueCount="127">
  <si>
    <t>Common</t>
  </si>
  <si>
    <t>Uncommon</t>
  </si>
  <si>
    <t>Rare</t>
  </si>
  <si>
    <t>Super rare</t>
  </si>
  <si>
    <t>Legendary</t>
  </si>
  <si>
    <t>Lost</t>
  </si>
  <si>
    <t>Total</t>
  </si>
  <si>
    <t>Existing cards</t>
  </si>
  <si>
    <t>Chance</t>
  </si>
  <si>
    <t>Regular pack</t>
  </si>
  <si>
    <t>Large pack</t>
  </si>
  <si>
    <t>Multipack</t>
  </si>
  <si>
    <t>Megapack</t>
  </si>
  <si>
    <t>Century pack</t>
  </si>
  <si>
    <t>Price</t>
  </si>
  <si>
    <t>Num cards</t>
  </si>
  <si>
    <t>Num packs</t>
  </si>
  <si>
    <t>Overall price</t>
  </si>
  <si>
    <t>Printer</t>
  </si>
  <si>
    <t>Ink</t>
  </si>
  <si>
    <t>Card</t>
  </si>
  <si>
    <t>Cards it can make</t>
  </si>
  <si>
    <t>Regular packs</t>
  </si>
  <si>
    <t>Large packs</t>
  </si>
  <si>
    <t>Multipacks</t>
  </si>
  <si>
    <t>Megapacks</t>
  </si>
  <si>
    <t>Century packs</t>
  </si>
  <si>
    <t>Fraction</t>
  </si>
  <si>
    <t>1 in 5</t>
  </si>
  <si>
    <t>1 in 10</t>
  </si>
  <si>
    <t>Every other</t>
  </si>
  <si>
    <t>1 in 25</t>
  </si>
  <si>
    <t>1 in 50</t>
  </si>
  <si>
    <t>1 in 100</t>
  </si>
  <si>
    <t>Sold</t>
  </si>
  <si>
    <t>inf.</t>
  </si>
  <si>
    <t>Profit</t>
  </si>
  <si>
    <t>Individual Card Price</t>
  </si>
  <si>
    <t>Price/Card</t>
  </si>
  <si>
    <t>N/A</t>
  </si>
  <si>
    <t>Theoretical Chance</t>
  </si>
  <si>
    <t>Quantity in existence</t>
  </si>
  <si>
    <t>No code - Lost Typewriter with error</t>
  </si>
  <si>
    <t>L-2 Alembic</t>
  </si>
  <si>
    <t>C-18 - Pouting Cat</t>
  </si>
  <si>
    <t>C-6 - Grinning Squinting Face</t>
  </si>
  <si>
    <t>Envelopes</t>
  </si>
  <si>
    <t>C-1 - Slightly Smiling Face</t>
  </si>
  <si>
    <t>C-2 - Grinning face</t>
  </si>
  <si>
    <t>C-23 - Blue Heart</t>
  </si>
  <si>
    <t>C-20 - Sparkling Heart</t>
  </si>
  <si>
    <t>C-36 - Ghost</t>
  </si>
  <si>
    <t>C-34 - Pleading Face</t>
  </si>
  <si>
    <t>C-11 - Face Blowing a Kiss</t>
  </si>
  <si>
    <t>Total card price</t>
  </si>
  <si>
    <t>C-22 - Broken Heart</t>
  </si>
  <si>
    <t>C-4 - Grinning Face with Smiling Eyes</t>
  </si>
  <si>
    <t>C-5 - Beaming Face with Smiling Eyes</t>
  </si>
  <si>
    <t>C-8 - Rolling on the Floor Laughing</t>
  </si>
  <si>
    <t>C-10 - Smiling face with Heart Eyes</t>
  </si>
  <si>
    <t>C-19 - See No Evil Monkey</t>
  </si>
  <si>
    <t>C-12 - Winking Face with Tongue</t>
  </si>
  <si>
    <t>C-7 - Grinning face with Sweat</t>
  </si>
  <si>
    <t>C-24 - ZZZ</t>
  </si>
  <si>
    <t>C-13 - Slightly Frowning Face</t>
  </si>
  <si>
    <t>C-9 - Smiling Face with Smiling Eyes</t>
  </si>
  <si>
    <t>C-17 - Grinning Cat</t>
  </si>
  <si>
    <t>C-15 - Angry Face</t>
  </si>
  <si>
    <t>C-21 - Red Heart</t>
  </si>
  <si>
    <t>C-3 - Grinning Face with Big Eyes</t>
  </si>
  <si>
    <t>Quantity not yet sold</t>
  </si>
  <si>
    <t>SumUp fees</t>
  </si>
  <si>
    <t>U-1 Face with tears of joy</t>
  </si>
  <si>
    <t>U-2 Face with tongue</t>
  </si>
  <si>
    <t>U-5 Upside down face</t>
  </si>
  <si>
    <t>U-3 Smiling face with tear</t>
  </si>
  <si>
    <t>U-4 Face with hand over mouth</t>
  </si>
  <si>
    <t>U-7 Smiling face with hearts</t>
  </si>
  <si>
    <t>U-6 Winking face</t>
  </si>
  <si>
    <t>U-8 Face savouring food</t>
  </si>
  <si>
    <t>U-9 Smiling face with halo</t>
  </si>
  <si>
    <t>U-10 Smiling face with tears</t>
  </si>
  <si>
    <t>U-11 Thinking face</t>
  </si>
  <si>
    <t>U-12 Face with hand over mouth</t>
  </si>
  <si>
    <t>U-13  Neutral Face</t>
  </si>
  <si>
    <t>U-14 Shushing</t>
  </si>
  <si>
    <t>U-15 Face with raised eyebrow</t>
  </si>
  <si>
    <t>U-16 Face with open eyes and hand over mouth</t>
  </si>
  <si>
    <t>R-1 Face in clouds</t>
  </si>
  <si>
    <t>R-2 Saluting face</t>
  </si>
  <si>
    <t>R-3 Zipper-mouth face</t>
  </si>
  <si>
    <t>R-4 Expressionless face</t>
  </si>
  <si>
    <t>R-5 Nauseated face</t>
  </si>
  <si>
    <t>R-6 Face vomiting</t>
  </si>
  <si>
    <t>R-8 Sneezing face</t>
  </si>
  <si>
    <t>SR-1 Clown face</t>
  </si>
  <si>
    <t>SR-2 Dotted line face</t>
  </si>
  <si>
    <t>SR-3 Cold face</t>
  </si>
  <si>
    <t>SR-4 Melting face</t>
  </si>
  <si>
    <t>SR-5 Head exploding</t>
  </si>
  <si>
    <t>SR-6 Robot</t>
  </si>
  <si>
    <t>SR-7 Skull and crossbones</t>
  </si>
  <si>
    <t>SR-8 Alien</t>
  </si>
  <si>
    <t>Total cards</t>
  </si>
  <si>
    <t>LE-1 Goblin</t>
  </si>
  <si>
    <t>LE-2 Ogre</t>
  </si>
  <si>
    <t>LE-3 Chocolate scoop</t>
  </si>
  <si>
    <t>LE-4 Alien monster</t>
  </si>
  <si>
    <t>LE-5 Shaking face</t>
  </si>
  <si>
    <t>LE-7 Face screaming in fear</t>
  </si>
  <si>
    <t>LE-8 Nerd face</t>
  </si>
  <si>
    <t>R-7 Lying face</t>
  </si>
  <si>
    <t>LE-6 Face with symbols on mouth</t>
  </si>
  <si>
    <t>Card codes and meanings</t>
  </si>
  <si>
    <t>C</t>
  </si>
  <si>
    <t>U</t>
  </si>
  <si>
    <t>R</t>
  </si>
  <si>
    <t>SR</t>
  </si>
  <si>
    <t>LE</t>
  </si>
  <si>
    <t>CH25</t>
  </si>
  <si>
    <t>Christmas 2025</t>
  </si>
  <si>
    <t>L</t>
  </si>
  <si>
    <t>E1</t>
  </si>
  <si>
    <t>Event 1 - Split</t>
  </si>
  <si>
    <t>CH25-1 Christmas tree</t>
  </si>
  <si>
    <t>CH25-2 Christmas tree no lights</t>
  </si>
  <si>
    <t>CH25-3 Wrapped gift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</si>
</sst>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Aptos Narrow"/>
      <family val="2"/>
      <scheme val="minor"/>
    </font>
    <font>
      <sz val="8"/>
      <name val="Aptos Narrow"/>
      <family val="2"/>
      <scheme val="minor"/>
    </font>
    <font>
      <sz val="26"/>
      <color theme="1"/>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10" fontId="0" fillId="0" borderId="0" xfId="0" applyNumberFormat="1"/>
    <xf numFmtId="164" fontId="0" fillId="0" borderId="0" xfId="0" applyNumberFormat="1"/>
    <xf numFmtId="0" fontId="0" fillId="0" borderId="0" xfId="0" applyAlignment="1">
      <alignment horizontal="center"/>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right"/>
    </xf>
    <xf numFmtId="1" fontId="0" fillId="0" borderId="0" xfId="0" applyNumberFormat="1"/>
    <xf numFmtId="0" fontId="0" fillId="2" borderId="0" xfId="0" applyFill="1"/>
    <xf numFmtId="0" fontId="0" fillId="2" borderId="1" xfId="0" applyFill="1" applyBorder="1"/>
    <xf numFmtId="1" fontId="0" fillId="2" borderId="1" xfId="0" applyNumberFormat="1" applyFill="1" applyBorder="1"/>
    <xf numFmtId="0" fontId="0" fillId="0" borderId="1" xfId="0" applyBorder="1"/>
    <xf numFmtId="1" fontId="0" fillId="0" borderId="1" xfId="0" applyNumberFormat="1" applyBorder="1"/>
    <xf numFmtId="10" fontId="0" fillId="0" borderId="1" xfId="0" applyNumberFormat="1" applyBorder="1"/>
    <xf numFmtId="10" fontId="0" fillId="2" borderId="1" xfId="0" applyNumberFormat="1" applyFill="1" applyBorder="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hyperlink" Target="https://trackmidi.github.io/The-Smiley-Card-Games/emojattax" TargetMode="External"/></Relationships>
</file>

<file path=xl/drawings/drawing1.xml><?xml version="1.0" encoding="utf-8"?>
<xdr:wsDr xmlns:xdr="http://schemas.openxmlformats.org/drawingml/2006/spreadsheetDrawing" xmlns:a="http://schemas.openxmlformats.org/drawingml/2006/main">
  <xdr:twoCellAnchor>
    <xdr:from>
      <xdr:col>4</xdr:col>
      <xdr:colOff>304800</xdr:colOff>
      <xdr:row>3</xdr:row>
      <xdr:rowOff>107950</xdr:rowOff>
    </xdr:from>
    <xdr:to>
      <xdr:col>8</xdr:col>
      <xdr:colOff>44450</xdr:colOff>
      <xdr:row>12</xdr:row>
      <xdr:rowOff>107950</xdr:rowOff>
    </xdr:to>
    <xdr:sp macro="" textlink="">
      <xdr:nvSpPr>
        <xdr:cNvPr id="2" name="TextBox 1">
          <a:extLst>
            <a:ext uri="{FF2B5EF4-FFF2-40B4-BE49-F238E27FC236}">
              <a16:creationId xmlns:a16="http://schemas.microsoft.com/office/drawing/2014/main" id="{3A90B43C-300E-84C9-3B46-F577836C9DE4}"/>
            </a:ext>
          </a:extLst>
        </xdr:cNvPr>
        <xdr:cNvSpPr txBox="1"/>
      </xdr:nvSpPr>
      <xdr:spPr>
        <a:xfrm>
          <a:off x="6661150" y="660400"/>
          <a:ext cx="2203450" cy="165735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current</a:t>
          </a:r>
          <a:r>
            <a:rPr lang="en-GB" sz="1100" baseline="0"/>
            <a:t> theoretical chance changes based on how many cards currently exist of each type, but the target chance usually stays the same as it is the chance that we try to make happen in order for the game to work. It does not take into account cards that have already been sold</a:t>
          </a:r>
          <a:endParaRPr lang="en-GB" sz="1100"/>
        </a:p>
      </xdr:txBody>
    </xdr:sp>
    <xdr:clientData/>
  </xdr:twoCellAnchor>
  <xdr:twoCellAnchor>
    <xdr:from>
      <xdr:col>8</xdr:col>
      <xdr:colOff>412750</xdr:colOff>
      <xdr:row>5</xdr:row>
      <xdr:rowOff>127000</xdr:rowOff>
    </xdr:from>
    <xdr:to>
      <xdr:col>12</xdr:col>
      <xdr:colOff>177800</xdr:colOff>
      <xdr:row>9</xdr:row>
      <xdr:rowOff>171450</xdr:rowOff>
    </xdr:to>
    <xdr:sp macro="" textlink="">
      <xdr:nvSpPr>
        <xdr:cNvPr id="3" name="TextBox 2">
          <a:extLst>
            <a:ext uri="{FF2B5EF4-FFF2-40B4-BE49-F238E27FC236}">
              <a16:creationId xmlns:a16="http://schemas.microsoft.com/office/drawing/2014/main" id="{31D85D94-6410-4F7E-AC1E-DA3EEFB4F68D}"/>
            </a:ext>
          </a:extLst>
        </xdr:cNvPr>
        <xdr:cNvSpPr txBox="1"/>
      </xdr:nvSpPr>
      <xdr:spPr>
        <a:xfrm>
          <a:off x="9232900" y="1047750"/>
          <a:ext cx="2203450" cy="78105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We recommend that</a:t>
          </a:r>
          <a:r>
            <a:rPr lang="en-GB" sz="1100" baseline="0"/>
            <a:t> you use the find tool to find the card that you are looking for as the cards are mostly in a random order</a:t>
          </a:r>
          <a:endParaRPr lang="en-GB" sz="1100"/>
        </a:p>
      </xdr:txBody>
    </xdr:sp>
    <xdr:clientData/>
  </xdr:twoCellAnchor>
  <xdr:twoCellAnchor>
    <xdr:from>
      <xdr:col>9</xdr:col>
      <xdr:colOff>177800</xdr:colOff>
      <xdr:row>12</xdr:row>
      <xdr:rowOff>120650</xdr:rowOff>
    </xdr:from>
    <xdr:to>
      <xdr:col>11</xdr:col>
      <xdr:colOff>406400</xdr:colOff>
      <xdr:row>17</xdr:row>
      <xdr:rowOff>95250</xdr:rowOff>
    </xdr:to>
    <xdr:sp macro="" textlink="">
      <xdr:nvSpPr>
        <xdr:cNvPr id="6" name="Oval 5">
          <a:hlinkClick xmlns:r="http://schemas.openxmlformats.org/officeDocument/2006/relationships" r:id="rId1"/>
          <a:extLst>
            <a:ext uri="{FF2B5EF4-FFF2-40B4-BE49-F238E27FC236}">
              <a16:creationId xmlns:a16="http://schemas.microsoft.com/office/drawing/2014/main" id="{B88569F4-5A13-8D72-7930-1508C1120525}"/>
            </a:ext>
          </a:extLst>
        </xdr:cNvPr>
        <xdr:cNvSpPr/>
      </xdr:nvSpPr>
      <xdr:spPr>
        <a:xfrm>
          <a:off x="9607550" y="2330450"/>
          <a:ext cx="1447800" cy="895350"/>
        </a:xfrm>
        <a:prstGeom prst="ellipse">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ysClr val="windowText" lastClr="000000"/>
              </a:solidFill>
            </a:rPr>
            <a:t>Click</a:t>
          </a:r>
          <a:r>
            <a:rPr lang="en-GB" sz="1100" baseline="0">
              <a:solidFill>
                <a:sysClr val="windowText" lastClr="000000"/>
              </a:solidFill>
            </a:rPr>
            <a:t> here to go to our website!</a:t>
          </a:r>
          <a:endParaRPr lang="en-GB" sz="1100">
            <a:solidFill>
              <a:sysClr val="windowText" lastClr="000000"/>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125C3-9A66-451D-A6DA-0D6E90444AFC}">
  <dimension ref="A1:H4"/>
  <sheetViews>
    <sheetView workbookViewId="0">
      <selection activeCell="C9" sqref="C9"/>
    </sheetView>
  </sheetViews>
  <sheetFormatPr defaultRowHeight="14.5" x14ac:dyDescent="0.35"/>
  <cols>
    <col min="1" max="1" width="11.81640625" bestFit="1" customWidth="1"/>
    <col min="2" max="2" width="9.7265625" bestFit="1" customWidth="1"/>
    <col min="3" max="3" width="10.1796875" bestFit="1" customWidth="1"/>
    <col min="4" max="4" width="8.90625" bestFit="1" customWidth="1"/>
    <col min="5" max="5" width="9.453125" customWidth="1"/>
    <col min="6" max="6" width="9.1796875" bestFit="1" customWidth="1"/>
    <col min="7" max="7" width="6.81640625" bestFit="1" customWidth="1"/>
    <col min="8" max="8" width="4.81640625" bestFit="1" customWidth="1"/>
  </cols>
  <sheetData>
    <row r="1" spans="1:8" x14ac:dyDescent="0.35">
      <c r="B1" t="s">
        <v>0</v>
      </c>
      <c r="C1" t="s">
        <v>1</v>
      </c>
      <c r="D1" t="s">
        <v>2</v>
      </c>
      <c r="E1" t="s">
        <v>3</v>
      </c>
      <c r="F1" t="s">
        <v>4</v>
      </c>
      <c r="G1" t="s">
        <v>5</v>
      </c>
      <c r="H1" t="s">
        <v>6</v>
      </c>
    </row>
    <row r="2" spans="1:8" x14ac:dyDescent="0.35">
      <c r="A2" t="s">
        <v>7</v>
      </c>
      <c r="B2">
        <v>25</v>
      </c>
      <c r="C2">
        <v>15</v>
      </c>
      <c r="D2">
        <v>8</v>
      </c>
      <c r="E2">
        <v>5</v>
      </c>
      <c r="F2">
        <v>3</v>
      </c>
      <c r="G2">
        <v>2</v>
      </c>
      <c r="H2">
        <f>SUM(B2:G2)</f>
        <v>58</v>
      </c>
    </row>
    <row r="3" spans="1:8" x14ac:dyDescent="0.35">
      <c r="A3" t="s">
        <v>8</v>
      </c>
      <c r="B3" s="1">
        <v>0.63</v>
      </c>
      <c r="C3" s="1">
        <v>0.2</v>
      </c>
      <c r="D3" s="1">
        <v>0.1</v>
      </c>
      <c r="E3" s="1">
        <v>0.04</v>
      </c>
      <c r="F3" s="1">
        <v>0.02</v>
      </c>
      <c r="G3" s="1">
        <v>0.01</v>
      </c>
    </row>
    <row r="4" spans="1:8" x14ac:dyDescent="0.35">
      <c r="A4" t="s">
        <v>27</v>
      </c>
      <c r="B4" t="s">
        <v>30</v>
      </c>
      <c r="C4" t="s">
        <v>28</v>
      </c>
      <c r="D4" t="s">
        <v>29</v>
      </c>
      <c r="E4" t="s">
        <v>31</v>
      </c>
      <c r="F4" t="s">
        <v>32</v>
      </c>
      <c r="G4" s="1"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144F3-D623-4C32-B54C-E2AE24A2F6D9}">
  <dimension ref="A1:H71"/>
  <sheetViews>
    <sheetView tabSelected="1" workbookViewId="0">
      <pane ySplit="1" topLeftCell="A2" activePane="bottomLeft" state="frozen"/>
      <selection pane="bottomLeft" activeCell="K23" sqref="K23"/>
    </sheetView>
  </sheetViews>
  <sheetFormatPr defaultRowHeight="14.5" x14ac:dyDescent="0.35"/>
  <cols>
    <col min="1" max="1" width="39" bestFit="1" customWidth="1"/>
    <col min="2" max="2" width="17.90625" style="7" bestFit="1" customWidth="1"/>
    <col min="3" max="3" width="17.453125" style="7" bestFit="1" customWidth="1"/>
    <col min="4" max="4" width="16.6328125" style="1" bestFit="1" customWidth="1"/>
    <col min="5" max="5" width="9.08984375" bestFit="1" customWidth="1"/>
  </cols>
  <sheetData>
    <row r="1" spans="1:8" x14ac:dyDescent="0.35">
      <c r="A1" s="9" t="s">
        <v>20</v>
      </c>
      <c r="B1" s="10" t="s">
        <v>41</v>
      </c>
      <c r="C1" s="10" t="s">
        <v>70</v>
      </c>
      <c r="D1" s="9" t="s">
        <v>40</v>
      </c>
    </row>
    <row r="2" spans="1:8" x14ac:dyDescent="0.35">
      <c r="A2" s="11" t="s">
        <v>42</v>
      </c>
      <c r="B2" s="12">
        <v>8</v>
      </c>
      <c r="C2" s="12">
        <v>8</v>
      </c>
      <c r="D2" s="13">
        <f>B2/B71</f>
        <v>4.790419161676647E-2</v>
      </c>
    </row>
    <row r="3" spans="1:8" x14ac:dyDescent="0.35">
      <c r="A3" s="11" t="s">
        <v>43</v>
      </c>
      <c r="B3" s="12">
        <v>8</v>
      </c>
      <c r="C3" s="12">
        <v>8</v>
      </c>
      <c r="D3" s="13">
        <f>B3/B71</f>
        <v>4.790419161676647E-2</v>
      </c>
    </row>
    <row r="4" spans="1:8" x14ac:dyDescent="0.35">
      <c r="A4" s="11" t="s">
        <v>44</v>
      </c>
      <c r="B4" s="12">
        <v>2</v>
      </c>
      <c r="C4" s="12">
        <v>1</v>
      </c>
      <c r="D4" s="13">
        <f>B4/B71</f>
        <v>1.1976047904191617E-2</v>
      </c>
    </row>
    <row r="5" spans="1:8" x14ac:dyDescent="0.35">
      <c r="A5" s="11" t="s">
        <v>45</v>
      </c>
      <c r="B5" s="12">
        <v>5</v>
      </c>
      <c r="C5" s="12">
        <v>5</v>
      </c>
      <c r="D5" s="13">
        <f>B5/B71</f>
        <v>2.9940119760479042E-2</v>
      </c>
    </row>
    <row r="6" spans="1:8" x14ac:dyDescent="0.35">
      <c r="A6" s="11" t="s">
        <v>47</v>
      </c>
      <c r="B6" s="12">
        <v>12</v>
      </c>
      <c r="C6" s="12">
        <v>12</v>
      </c>
      <c r="D6" s="13">
        <f>B6/B71</f>
        <v>7.1856287425149698E-2</v>
      </c>
    </row>
    <row r="7" spans="1:8" x14ac:dyDescent="0.35">
      <c r="A7" s="11" t="s">
        <v>48</v>
      </c>
      <c r="B7" s="12">
        <v>9</v>
      </c>
      <c r="C7" s="12">
        <v>8</v>
      </c>
      <c r="D7" s="13">
        <f>B7/B71</f>
        <v>5.3892215568862277E-2</v>
      </c>
    </row>
    <row r="8" spans="1:8" x14ac:dyDescent="0.35">
      <c r="A8" s="11" t="s">
        <v>49</v>
      </c>
      <c r="B8" s="12">
        <v>12</v>
      </c>
      <c r="C8" s="12">
        <v>10</v>
      </c>
      <c r="D8" s="13">
        <f>B8/B71</f>
        <v>7.1856287425149698E-2</v>
      </c>
    </row>
    <row r="9" spans="1:8" x14ac:dyDescent="0.35">
      <c r="A9" s="11" t="s">
        <v>50</v>
      </c>
      <c r="B9" s="12">
        <v>13</v>
      </c>
      <c r="C9" s="12">
        <v>13</v>
      </c>
      <c r="D9" s="13">
        <f>B9/B71</f>
        <v>7.7844311377245512E-2</v>
      </c>
    </row>
    <row r="10" spans="1:8" x14ac:dyDescent="0.35">
      <c r="A10" s="11" t="s">
        <v>51</v>
      </c>
      <c r="B10" s="12">
        <v>2</v>
      </c>
      <c r="C10" s="12">
        <v>1</v>
      </c>
      <c r="D10" s="13">
        <f>B10/B71</f>
        <v>1.1976047904191617E-2</v>
      </c>
    </row>
    <row r="11" spans="1:8" x14ac:dyDescent="0.35">
      <c r="A11" s="11" t="s">
        <v>52</v>
      </c>
      <c r="B11" s="12">
        <v>3</v>
      </c>
      <c r="C11" s="12">
        <v>3</v>
      </c>
      <c r="D11" s="13">
        <f>B11/B71</f>
        <v>1.7964071856287425E-2</v>
      </c>
    </row>
    <row r="12" spans="1:8" x14ac:dyDescent="0.35">
      <c r="A12" s="11" t="s">
        <v>53</v>
      </c>
      <c r="B12" s="12">
        <v>3</v>
      </c>
      <c r="C12" s="12">
        <v>3</v>
      </c>
      <c r="D12" s="13">
        <f>B12/B71</f>
        <v>1.7964071856287425E-2</v>
      </c>
    </row>
    <row r="13" spans="1:8" x14ac:dyDescent="0.35">
      <c r="A13" s="11" t="s">
        <v>55</v>
      </c>
      <c r="B13" s="12">
        <v>12</v>
      </c>
      <c r="C13" s="12">
        <v>11</v>
      </c>
      <c r="D13" s="13">
        <f>B13/B71</f>
        <v>7.1856287425149698E-2</v>
      </c>
    </row>
    <row r="14" spans="1:8" x14ac:dyDescent="0.35">
      <c r="A14" s="11" t="s">
        <v>56</v>
      </c>
      <c r="B14" s="12">
        <v>8</v>
      </c>
      <c r="C14" s="12">
        <v>7</v>
      </c>
      <c r="D14" s="13">
        <f>B14/B71</f>
        <v>4.790419161676647E-2</v>
      </c>
    </row>
    <row r="15" spans="1:8" x14ac:dyDescent="0.35">
      <c r="A15" s="11" t="s">
        <v>57</v>
      </c>
      <c r="B15" s="12">
        <v>5</v>
      </c>
      <c r="C15" s="12">
        <v>5</v>
      </c>
      <c r="D15" s="13">
        <f>B15/B71</f>
        <v>2.9940119760479042E-2</v>
      </c>
      <c r="F15" s="15" t="s">
        <v>113</v>
      </c>
      <c r="G15" s="15"/>
      <c r="H15" s="15"/>
    </row>
    <row r="16" spans="1:8" x14ac:dyDescent="0.35">
      <c r="A16" s="11" t="s">
        <v>58</v>
      </c>
      <c r="B16" s="12">
        <v>5</v>
      </c>
      <c r="C16" s="12">
        <v>5</v>
      </c>
      <c r="D16" s="13">
        <f>B16/B71</f>
        <v>2.9940119760479042E-2</v>
      </c>
      <c r="F16" s="8" t="s">
        <v>114</v>
      </c>
      <c r="G16" s="8" t="s">
        <v>0</v>
      </c>
      <c r="H16" s="8"/>
    </row>
    <row r="17" spans="1:8" x14ac:dyDescent="0.35">
      <c r="A17" s="11" t="s">
        <v>59</v>
      </c>
      <c r="B17" s="12">
        <v>5</v>
      </c>
      <c r="C17" s="12">
        <v>5</v>
      </c>
      <c r="D17" s="13">
        <f>B17/B71</f>
        <v>2.9940119760479042E-2</v>
      </c>
      <c r="F17" s="8" t="s">
        <v>115</v>
      </c>
      <c r="G17" s="8" t="s">
        <v>1</v>
      </c>
      <c r="H17" s="8"/>
    </row>
    <row r="18" spans="1:8" x14ac:dyDescent="0.35">
      <c r="A18" s="11" t="s">
        <v>61</v>
      </c>
      <c r="B18" s="12">
        <v>5</v>
      </c>
      <c r="C18" s="12">
        <v>5</v>
      </c>
      <c r="D18" s="13">
        <f>B18/B71</f>
        <v>2.9940119760479042E-2</v>
      </c>
      <c r="F18" s="8" t="s">
        <v>116</v>
      </c>
      <c r="G18" s="8" t="s">
        <v>2</v>
      </c>
      <c r="H18" s="8"/>
    </row>
    <row r="19" spans="1:8" x14ac:dyDescent="0.35">
      <c r="A19" s="11" t="s">
        <v>60</v>
      </c>
      <c r="B19" s="12">
        <v>2</v>
      </c>
      <c r="C19" s="12">
        <v>2</v>
      </c>
      <c r="D19" s="13">
        <f>B19/B71</f>
        <v>1.1976047904191617E-2</v>
      </c>
      <c r="F19" s="8" t="s">
        <v>117</v>
      </c>
      <c r="G19" s="8" t="s">
        <v>3</v>
      </c>
      <c r="H19" s="8"/>
    </row>
    <row r="20" spans="1:8" x14ac:dyDescent="0.35">
      <c r="A20" s="11" t="s">
        <v>62</v>
      </c>
      <c r="B20" s="12">
        <v>5</v>
      </c>
      <c r="C20" s="12">
        <v>5</v>
      </c>
      <c r="D20" s="13">
        <f>B20/B71</f>
        <v>2.9940119760479042E-2</v>
      </c>
      <c r="F20" s="8" t="s">
        <v>118</v>
      </c>
      <c r="G20" s="8" t="s">
        <v>4</v>
      </c>
      <c r="H20" s="8"/>
    </row>
    <row r="21" spans="1:8" x14ac:dyDescent="0.35">
      <c r="A21" s="11" t="s">
        <v>63</v>
      </c>
      <c r="B21" s="12">
        <v>5</v>
      </c>
      <c r="C21" s="12">
        <v>5</v>
      </c>
      <c r="D21" s="13">
        <f>B21/B71</f>
        <v>2.9940119760479042E-2</v>
      </c>
      <c r="F21" s="8" t="s">
        <v>119</v>
      </c>
      <c r="G21" s="8" t="s">
        <v>120</v>
      </c>
      <c r="H21" s="8"/>
    </row>
    <row r="22" spans="1:8" x14ac:dyDescent="0.35">
      <c r="A22" s="11" t="s">
        <v>64</v>
      </c>
      <c r="B22" s="12">
        <v>2</v>
      </c>
      <c r="C22" s="12">
        <v>2</v>
      </c>
      <c r="D22" s="13">
        <f>B22/B71</f>
        <v>1.1976047904191617E-2</v>
      </c>
      <c r="F22" s="8" t="s">
        <v>121</v>
      </c>
      <c r="G22" s="8" t="s">
        <v>5</v>
      </c>
      <c r="H22" s="8"/>
    </row>
    <row r="23" spans="1:8" x14ac:dyDescent="0.35">
      <c r="A23" s="11" t="s">
        <v>65</v>
      </c>
      <c r="B23" s="12">
        <v>5</v>
      </c>
      <c r="C23" s="12">
        <v>4</v>
      </c>
      <c r="D23" s="13">
        <f>B23/B71</f>
        <v>2.9940119760479042E-2</v>
      </c>
      <c r="F23" s="8" t="s">
        <v>122</v>
      </c>
      <c r="G23" s="8" t="s">
        <v>123</v>
      </c>
      <c r="H23" s="8"/>
    </row>
    <row r="24" spans="1:8" x14ac:dyDescent="0.35">
      <c r="A24" s="11" t="s">
        <v>66</v>
      </c>
      <c r="B24" s="12">
        <v>3</v>
      </c>
      <c r="C24" s="12">
        <v>2</v>
      </c>
      <c r="D24" s="13">
        <f>B24/B71</f>
        <v>1.7964071856287425E-2</v>
      </c>
    </row>
    <row r="25" spans="1:8" x14ac:dyDescent="0.35">
      <c r="A25" s="11" t="s">
        <v>67</v>
      </c>
      <c r="B25" s="12">
        <v>3</v>
      </c>
      <c r="C25" s="12">
        <v>3</v>
      </c>
      <c r="D25" s="13">
        <f>B25/B71</f>
        <v>1.7964071856287425E-2</v>
      </c>
    </row>
    <row r="26" spans="1:8" x14ac:dyDescent="0.35">
      <c r="A26" s="11" t="s">
        <v>68</v>
      </c>
      <c r="B26" s="12">
        <v>13</v>
      </c>
      <c r="C26" s="12">
        <v>13</v>
      </c>
      <c r="D26" s="13">
        <f>B26/B71</f>
        <v>7.7844311377245512E-2</v>
      </c>
    </row>
    <row r="27" spans="1:8" x14ac:dyDescent="0.35">
      <c r="A27" s="11" t="s">
        <v>69</v>
      </c>
      <c r="B27" s="12">
        <v>12</v>
      </c>
      <c r="C27" s="12">
        <v>11</v>
      </c>
      <c r="D27" s="13">
        <f>B27/B71</f>
        <v>7.1856287425149698E-2</v>
      </c>
    </row>
    <row r="28" spans="1:8" x14ac:dyDescent="0.35">
      <c r="A28" s="11" t="s">
        <v>72</v>
      </c>
      <c r="B28" s="12">
        <v>0</v>
      </c>
      <c r="C28" s="12">
        <v>0</v>
      </c>
      <c r="D28" s="13">
        <f>B28/B71</f>
        <v>0</v>
      </c>
    </row>
    <row r="29" spans="1:8" x14ac:dyDescent="0.35">
      <c r="A29" s="11" t="s">
        <v>73</v>
      </c>
      <c r="B29" s="12">
        <v>0</v>
      </c>
      <c r="C29" s="12">
        <v>0</v>
      </c>
      <c r="D29" s="13">
        <f>B29/B71</f>
        <v>0</v>
      </c>
    </row>
    <row r="30" spans="1:8" x14ac:dyDescent="0.35">
      <c r="A30" s="11" t="s">
        <v>74</v>
      </c>
      <c r="B30" s="12">
        <v>0</v>
      </c>
      <c r="C30" s="12">
        <v>0</v>
      </c>
      <c r="D30" s="13">
        <f>B30/B71</f>
        <v>0</v>
      </c>
    </row>
    <row r="31" spans="1:8" x14ac:dyDescent="0.35">
      <c r="A31" s="11" t="s">
        <v>75</v>
      </c>
      <c r="B31" s="12">
        <v>0</v>
      </c>
      <c r="C31" s="12">
        <v>0</v>
      </c>
      <c r="D31" s="13">
        <f>B31/B71</f>
        <v>0</v>
      </c>
    </row>
    <row r="32" spans="1:8" x14ac:dyDescent="0.35">
      <c r="A32" s="11" t="s">
        <v>76</v>
      </c>
      <c r="B32" s="12">
        <v>0</v>
      </c>
      <c r="C32" s="12">
        <v>0</v>
      </c>
      <c r="D32" s="13">
        <f>B32/B71</f>
        <v>0</v>
      </c>
    </row>
    <row r="33" spans="1:4" x14ac:dyDescent="0.35">
      <c r="A33" s="11" t="s">
        <v>77</v>
      </c>
      <c r="B33" s="12">
        <v>0</v>
      </c>
      <c r="C33" s="12">
        <v>0</v>
      </c>
      <c r="D33" s="13">
        <f>B33/B71</f>
        <v>0</v>
      </c>
    </row>
    <row r="34" spans="1:4" x14ac:dyDescent="0.35">
      <c r="A34" s="11" t="s">
        <v>78</v>
      </c>
      <c r="B34" s="12">
        <v>0</v>
      </c>
      <c r="C34" s="12">
        <v>0</v>
      </c>
      <c r="D34" s="13">
        <f>B34/B71</f>
        <v>0</v>
      </c>
    </row>
    <row r="35" spans="1:4" x14ac:dyDescent="0.35">
      <c r="A35" s="11" t="s">
        <v>79</v>
      </c>
      <c r="B35" s="12">
        <v>0</v>
      </c>
      <c r="C35" s="12">
        <v>0</v>
      </c>
      <c r="D35" s="13">
        <f>B35/B71</f>
        <v>0</v>
      </c>
    </row>
    <row r="36" spans="1:4" x14ac:dyDescent="0.35">
      <c r="A36" s="11" t="s">
        <v>80</v>
      </c>
      <c r="B36" s="12">
        <v>0</v>
      </c>
      <c r="C36" s="12">
        <v>0</v>
      </c>
      <c r="D36" s="13">
        <f>B36/B71</f>
        <v>0</v>
      </c>
    </row>
    <row r="37" spans="1:4" x14ac:dyDescent="0.35">
      <c r="A37" s="11" t="s">
        <v>81</v>
      </c>
      <c r="B37" s="12">
        <v>0</v>
      </c>
      <c r="C37" s="12">
        <v>0</v>
      </c>
      <c r="D37" s="13">
        <f>B37/B71</f>
        <v>0</v>
      </c>
    </row>
    <row r="38" spans="1:4" x14ac:dyDescent="0.35">
      <c r="A38" s="11" t="s">
        <v>82</v>
      </c>
      <c r="B38" s="12">
        <v>0</v>
      </c>
      <c r="C38" s="12">
        <v>0</v>
      </c>
      <c r="D38" s="13">
        <f>B38/B71</f>
        <v>0</v>
      </c>
    </row>
    <row r="39" spans="1:4" x14ac:dyDescent="0.35">
      <c r="A39" s="11" t="s">
        <v>83</v>
      </c>
      <c r="B39" s="12">
        <v>0</v>
      </c>
      <c r="C39" s="12">
        <v>0</v>
      </c>
      <c r="D39" s="13">
        <f>B39/B71</f>
        <v>0</v>
      </c>
    </row>
    <row r="40" spans="1:4" x14ac:dyDescent="0.35">
      <c r="A40" s="11" t="s">
        <v>84</v>
      </c>
      <c r="B40" s="12">
        <v>0</v>
      </c>
      <c r="C40" s="12">
        <v>0</v>
      </c>
      <c r="D40" s="13">
        <f>B40/B71</f>
        <v>0</v>
      </c>
    </row>
    <row r="41" spans="1:4" x14ac:dyDescent="0.35">
      <c r="A41" s="11" t="s">
        <v>85</v>
      </c>
      <c r="B41" s="12">
        <v>0</v>
      </c>
      <c r="C41" s="12">
        <v>0</v>
      </c>
      <c r="D41" s="13">
        <f>B41/B71</f>
        <v>0</v>
      </c>
    </row>
    <row r="42" spans="1:4" x14ac:dyDescent="0.35">
      <c r="A42" s="11" t="s">
        <v>86</v>
      </c>
      <c r="B42" s="12">
        <v>0</v>
      </c>
      <c r="C42" s="12">
        <v>0</v>
      </c>
      <c r="D42" s="13">
        <f>B42/B71</f>
        <v>0</v>
      </c>
    </row>
    <row r="43" spans="1:4" x14ac:dyDescent="0.35">
      <c r="A43" s="11" t="s">
        <v>87</v>
      </c>
      <c r="B43" s="12">
        <v>0</v>
      </c>
      <c r="C43" s="12">
        <v>0</v>
      </c>
      <c r="D43" s="13">
        <f>B43/B71</f>
        <v>0</v>
      </c>
    </row>
    <row r="44" spans="1:4" x14ac:dyDescent="0.35">
      <c r="A44" s="11" t="s">
        <v>88</v>
      </c>
      <c r="B44" s="12">
        <v>0</v>
      </c>
      <c r="C44" s="12">
        <v>0</v>
      </c>
      <c r="D44" s="13">
        <f>B44/B71</f>
        <v>0</v>
      </c>
    </row>
    <row r="45" spans="1:4" x14ac:dyDescent="0.35">
      <c r="A45" s="11" t="s">
        <v>89</v>
      </c>
      <c r="B45" s="12">
        <v>0</v>
      </c>
      <c r="C45" s="12">
        <v>0</v>
      </c>
      <c r="D45" s="13">
        <f>B45/B71</f>
        <v>0</v>
      </c>
    </row>
    <row r="46" spans="1:4" x14ac:dyDescent="0.35">
      <c r="A46" s="11" t="s">
        <v>90</v>
      </c>
      <c r="B46" s="12">
        <v>0</v>
      </c>
      <c r="C46" s="12">
        <v>0</v>
      </c>
      <c r="D46" s="13">
        <f>B46/B71</f>
        <v>0</v>
      </c>
    </row>
    <row r="47" spans="1:4" x14ac:dyDescent="0.35">
      <c r="A47" s="11" t="s">
        <v>91</v>
      </c>
      <c r="B47" s="12">
        <v>0</v>
      </c>
      <c r="C47" s="12">
        <v>0</v>
      </c>
      <c r="D47" s="13">
        <f>B47/B71</f>
        <v>0</v>
      </c>
    </row>
    <row r="48" spans="1:4" x14ac:dyDescent="0.35">
      <c r="A48" s="11" t="s">
        <v>92</v>
      </c>
      <c r="B48" s="12">
        <v>0</v>
      </c>
      <c r="C48" s="12">
        <v>0</v>
      </c>
      <c r="D48" s="13">
        <f>B48/B71</f>
        <v>0</v>
      </c>
    </row>
    <row r="49" spans="1:4" x14ac:dyDescent="0.35">
      <c r="A49" s="11" t="s">
        <v>93</v>
      </c>
      <c r="B49" s="12">
        <v>0</v>
      </c>
      <c r="C49" s="12">
        <v>0</v>
      </c>
      <c r="D49" s="13">
        <f>B49/B71</f>
        <v>0</v>
      </c>
    </row>
    <row r="50" spans="1:4" x14ac:dyDescent="0.35">
      <c r="A50" s="11" t="s">
        <v>111</v>
      </c>
      <c r="B50" s="12">
        <v>0</v>
      </c>
      <c r="C50" s="12">
        <v>0</v>
      </c>
      <c r="D50" s="13">
        <f>B50/B71</f>
        <v>0</v>
      </c>
    </row>
    <row r="51" spans="1:4" x14ac:dyDescent="0.35">
      <c r="A51" s="11" t="s">
        <v>94</v>
      </c>
      <c r="B51" s="12">
        <v>0</v>
      </c>
      <c r="C51" s="12">
        <v>0</v>
      </c>
      <c r="D51" s="13">
        <f>B51/B71</f>
        <v>0</v>
      </c>
    </row>
    <row r="52" spans="1:4" x14ac:dyDescent="0.35">
      <c r="A52" s="11" t="s">
        <v>95</v>
      </c>
      <c r="B52" s="12">
        <v>0</v>
      </c>
      <c r="C52" s="12">
        <v>0</v>
      </c>
      <c r="D52" s="13">
        <f>B52/B71</f>
        <v>0</v>
      </c>
    </row>
    <row r="53" spans="1:4" x14ac:dyDescent="0.35">
      <c r="A53" s="11" t="s">
        <v>96</v>
      </c>
      <c r="B53" s="12">
        <v>0</v>
      </c>
      <c r="C53" s="12">
        <v>0</v>
      </c>
      <c r="D53" s="13">
        <f>B53/B71</f>
        <v>0</v>
      </c>
    </row>
    <row r="54" spans="1:4" x14ac:dyDescent="0.35">
      <c r="A54" s="11" t="s">
        <v>97</v>
      </c>
      <c r="B54" s="12">
        <v>0</v>
      </c>
      <c r="C54" s="12">
        <v>0</v>
      </c>
      <c r="D54" s="13">
        <f>B54/B71</f>
        <v>0</v>
      </c>
    </row>
    <row r="55" spans="1:4" x14ac:dyDescent="0.35">
      <c r="A55" s="11" t="s">
        <v>98</v>
      </c>
      <c r="B55" s="12">
        <v>0</v>
      </c>
      <c r="C55" s="12">
        <v>0</v>
      </c>
      <c r="D55" s="13">
        <f>B55/B71</f>
        <v>0</v>
      </c>
    </row>
    <row r="56" spans="1:4" x14ac:dyDescent="0.35">
      <c r="A56" s="11" t="s">
        <v>99</v>
      </c>
      <c r="B56" s="12">
        <v>0</v>
      </c>
      <c r="C56" s="12">
        <v>0</v>
      </c>
      <c r="D56" s="13">
        <f>B56/B71</f>
        <v>0</v>
      </c>
    </row>
    <row r="57" spans="1:4" x14ac:dyDescent="0.35">
      <c r="A57" s="11" t="s">
        <v>100</v>
      </c>
      <c r="B57" s="12">
        <v>0</v>
      </c>
      <c r="C57" s="12">
        <v>0</v>
      </c>
      <c r="D57" s="13">
        <f>B57/B71</f>
        <v>0</v>
      </c>
    </row>
    <row r="58" spans="1:4" x14ac:dyDescent="0.35">
      <c r="A58" s="11" t="s">
        <v>101</v>
      </c>
      <c r="B58" s="12">
        <v>0</v>
      </c>
      <c r="C58" s="12">
        <v>0</v>
      </c>
      <c r="D58" s="13">
        <f>B58/B71</f>
        <v>0</v>
      </c>
    </row>
    <row r="59" spans="1:4" x14ac:dyDescent="0.35">
      <c r="A59" s="11" t="s">
        <v>102</v>
      </c>
      <c r="B59" s="12">
        <v>0</v>
      </c>
      <c r="C59" s="12">
        <v>0</v>
      </c>
      <c r="D59" s="13">
        <f>B59/B71</f>
        <v>0</v>
      </c>
    </row>
    <row r="60" spans="1:4" x14ac:dyDescent="0.35">
      <c r="A60" s="11" t="s">
        <v>104</v>
      </c>
      <c r="B60" s="12">
        <v>0</v>
      </c>
      <c r="C60" s="12">
        <v>0</v>
      </c>
      <c r="D60" s="13">
        <f>B60/B71</f>
        <v>0</v>
      </c>
    </row>
    <row r="61" spans="1:4" x14ac:dyDescent="0.35">
      <c r="A61" s="11" t="s">
        <v>105</v>
      </c>
      <c r="B61" s="12">
        <v>0</v>
      </c>
      <c r="C61" s="12">
        <v>0</v>
      </c>
      <c r="D61" s="13">
        <f>B61/B71</f>
        <v>0</v>
      </c>
    </row>
    <row r="62" spans="1:4" x14ac:dyDescent="0.35">
      <c r="A62" s="11" t="s">
        <v>106</v>
      </c>
      <c r="B62" s="12">
        <v>0</v>
      </c>
      <c r="C62" s="12">
        <v>0</v>
      </c>
      <c r="D62" s="13">
        <f>B62/B71</f>
        <v>0</v>
      </c>
    </row>
    <row r="63" spans="1:4" x14ac:dyDescent="0.35">
      <c r="A63" s="11" t="s">
        <v>107</v>
      </c>
      <c r="B63" s="12">
        <v>0</v>
      </c>
      <c r="C63" s="12">
        <v>0</v>
      </c>
      <c r="D63" s="13">
        <f>B63/B71</f>
        <v>0</v>
      </c>
    </row>
    <row r="64" spans="1:4" x14ac:dyDescent="0.35">
      <c r="A64" s="11" t="s">
        <v>108</v>
      </c>
      <c r="B64" s="12">
        <v>0</v>
      </c>
      <c r="C64" s="12">
        <v>0</v>
      </c>
      <c r="D64" s="13">
        <f>B64/B71</f>
        <v>0</v>
      </c>
    </row>
    <row r="65" spans="1:4" x14ac:dyDescent="0.35">
      <c r="A65" s="11" t="s">
        <v>112</v>
      </c>
      <c r="B65" s="12">
        <v>0</v>
      </c>
      <c r="C65" s="12">
        <v>0</v>
      </c>
      <c r="D65" s="13">
        <f>B65/B71</f>
        <v>0</v>
      </c>
    </row>
    <row r="66" spans="1:4" x14ac:dyDescent="0.35">
      <c r="A66" s="11" t="s">
        <v>109</v>
      </c>
      <c r="B66" s="12">
        <v>0</v>
      </c>
      <c r="C66" s="12">
        <v>0</v>
      </c>
      <c r="D66" s="13">
        <f>B66/B71</f>
        <v>0</v>
      </c>
    </row>
    <row r="67" spans="1:4" x14ac:dyDescent="0.35">
      <c r="A67" s="11" t="s">
        <v>110</v>
      </c>
      <c r="B67" s="12">
        <v>0</v>
      </c>
      <c r="C67" s="12">
        <v>0</v>
      </c>
      <c r="D67" s="13">
        <f>B67/B71</f>
        <v>0</v>
      </c>
    </row>
    <row r="68" spans="1:4" x14ac:dyDescent="0.35">
      <c r="A68" s="11" t="s">
        <v>124</v>
      </c>
      <c r="B68" s="12">
        <v>0</v>
      </c>
      <c r="C68" s="12">
        <v>0</v>
      </c>
      <c r="D68" s="13">
        <f>B68/B71</f>
        <v>0</v>
      </c>
    </row>
    <row r="69" spans="1:4" x14ac:dyDescent="0.35">
      <c r="A69" s="11" t="s">
        <v>125</v>
      </c>
      <c r="B69" s="12">
        <v>0</v>
      </c>
      <c r="C69" s="12">
        <v>0</v>
      </c>
      <c r="D69" s="13">
        <f>B69/B71</f>
        <v>0</v>
      </c>
    </row>
    <row r="70" spans="1:4" x14ac:dyDescent="0.35">
      <c r="A70" s="11" t="s">
        <v>126</v>
      </c>
      <c r="B70" s="12">
        <v>0</v>
      </c>
      <c r="C70" s="12">
        <v>0</v>
      </c>
      <c r="D70" s="13">
        <f>B70/B71</f>
        <v>0</v>
      </c>
    </row>
    <row r="71" spans="1:4" x14ac:dyDescent="0.35">
      <c r="A71" s="9" t="s">
        <v>6</v>
      </c>
      <c r="B71" s="10">
        <f>SUM(B2:B70)</f>
        <v>167</v>
      </c>
      <c r="C71" s="10">
        <f>SUM(C2:C70)</f>
        <v>157</v>
      </c>
      <c r="D71" s="14">
        <f>SUM(D2:D27)</f>
        <v>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FAB9D-2FB5-4FCA-A02A-0B17FBBBB639}">
  <dimension ref="A1:H2"/>
  <sheetViews>
    <sheetView workbookViewId="0">
      <selection activeCell="C3" sqref="C3"/>
    </sheetView>
  </sheetViews>
  <sheetFormatPr defaultRowHeight="14.5" x14ac:dyDescent="0.35"/>
  <cols>
    <col min="2" max="2" width="12.08984375" bestFit="1" customWidth="1"/>
    <col min="3" max="3" width="10.453125" bestFit="1" customWidth="1"/>
    <col min="4" max="4" width="9.6328125" bestFit="1" customWidth="1"/>
    <col min="5" max="5" width="10" bestFit="1" customWidth="1"/>
    <col min="6" max="6" width="12.36328125" bestFit="1" customWidth="1"/>
    <col min="7" max="7" width="4.81640625" bestFit="1" customWidth="1"/>
    <col min="8" max="8" width="9.7265625" bestFit="1" customWidth="1"/>
  </cols>
  <sheetData>
    <row r="1" spans="1:8" x14ac:dyDescent="0.35">
      <c r="B1" t="s">
        <v>22</v>
      </c>
      <c r="C1" t="s">
        <v>23</v>
      </c>
      <c r="D1" t="s">
        <v>24</v>
      </c>
      <c r="E1" t="s">
        <v>25</v>
      </c>
      <c r="F1" t="s">
        <v>26</v>
      </c>
      <c r="G1" s="3" t="s">
        <v>6</v>
      </c>
      <c r="H1" t="s">
        <v>103</v>
      </c>
    </row>
    <row r="2" spans="1:8" ht="43.5" customHeight="1" x14ac:dyDescent="0.35">
      <c r="A2" s="4" t="s">
        <v>34</v>
      </c>
      <c r="B2" s="5">
        <v>0</v>
      </c>
      <c r="C2" s="5">
        <v>1</v>
      </c>
      <c r="D2" s="5">
        <v>0</v>
      </c>
      <c r="E2" s="5">
        <v>0</v>
      </c>
      <c r="F2" s="5">
        <v>0</v>
      </c>
      <c r="G2" s="5">
        <f>SUM(B2:F2)</f>
        <v>1</v>
      </c>
      <c r="H2" s="5">
        <f>(B2*4)+(C2*10)+(D2*15)+(E2*40)+(F2*100)</f>
        <v>10</v>
      </c>
    </row>
  </sheetData>
  <phoneticPr fontId="1" type="noConversion"/>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ECF-C77C-4A3A-8E13-43813A91B903}">
  <dimension ref="A1:H11"/>
  <sheetViews>
    <sheetView workbookViewId="0">
      <selection activeCell="A12" sqref="A12"/>
    </sheetView>
  </sheetViews>
  <sheetFormatPr defaultRowHeight="14.5" x14ac:dyDescent="0.35"/>
  <cols>
    <col min="1" max="1" width="15.36328125" bestFit="1" customWidth="1"/>
    <col min="2" max="2" width="11.1796875" bestFit="1" customWidth="1"/>
    <col min="3" max="3" width="9.54296875" bestFit="1" customWidth="1"/>
    <col min="5" max="5" width="9.08984375" bestFit="1" customWidth="1"/>
    <col min="6" max="6" width="11.453125" bestFit="1" customWidth="1"/>
    <col min="7" max="7" width="17.453125" bestFit="1" customWidth="1"/>
    <col min="8" max="8" width="6.36328125" bestFit="1" customWidth="1"/>
  </cols>
  <sheetData>
    <row r="1" spans="1:8" x14ac:dyDescent="0.35">
      <c r="B1" t="s">
        <v>9</v>
      </c>
      <c r="C1" t="s">
        <v>10</v>
      </c>
      <c r="D1" t="s">
        <v>11</v>
      </c>
      <c r="E1" t="s">
        <v>12</v>
      </c>
      <c r="F1" t="s">
        <v>13</v>
      </c>
      <c r="G1" t="s">
        <v>37</v>
      </c>
      <c r="H1" s="4" t="s">
        <v>6</v>
      </c>
    </row>
    <row r="2" spans="1:8" x14ac:dyDescent="0.35">
      <c r="A2" t="s">
        <v>14</v>
      </c>
      <c r="B2" s="2">
        <v>1.8</v>
      </c>
      <c r="C2" s="2">
        <v>4</v>
      </c>
      <c r="D2" s="2">
        <v>6</v>
      </c>
      <c r="E2" s="2">
        <v>15</v>
      </c>
      <c r="F2" s="2">
        <v>50</v>
      </c>
      <c r="G2" s="2">
        <v>1</v>
      </c>
      <c r="H2" s="2">
        <f>SUM(B2:G2)</f>
        <v>77.8</v>
      </c>
    </row>
    <row r="3" spans="1:8" x14ac:dyDescent="0.35">
      <c r="A3" t="s">
        <v>15</v>
      </c>
      <c r="B3">
        <v>4</v>
      </c>
      <c r="C3">
        <v>10</v>
      </c>
      <c r="D3">
        <v>15</v>
      </c>
      <c r="E3">
        <v>40</v>
      </c>
      <c r="F3">
        <v>100</v>
      </c>
      <c r="G3">
        <v>1</v>
      </c>
      <c r="H3">
        <f>SUM(B3:G3)</f>
        <v>170</v>
      </c>
    </row>
    <row r="4" spans="1:8" x14ac:dyDescent="0.35">
      <c r="A4" t="s">
        <v>36</v>
      </c>
      <c r="B4" s="2">
        <f>B2-(G11*B3)</f>
        <v>1.5425249999999999</v>
      </c>
      <c r="C4" s="2">
        <f>C2-(G11*C3)</f>
        <v>3.3563125</v>
      </c>
      <c r="D4" s="2">
        <f>D2-(G11*D3)</f>
        <v>5.0344687500000003</v>
      </c>
      <c r="E4" s="2">
        <f>E2-(G11*E3)</f>
        <v>12.42525</v>
      </c>
      <c r="F4" s="2">
        <f>F2-(G11*F3)</f>
        <v>43.563124999999999</v>
      </c>
      <c r="G4" s="2">
        <f>G2-(G11*G3)</f>
        <v>0.93563125000000003</v>
      </c>
      <c r="H4" s="2">
        <f>SUM(B4:G4)</f>
        <v>66.857312500000006</v>
      </c>
    </row>
    <row r="5" spans="1:8" x14ac:dyDescent="0.35">
      <c r="A5" t="s">
        <v>16</v>
      </c>
      <c r="B5">
        <v>0</v>
      </c>
      <c r="C5">
        <v>0</v>
      </c>
      <c r="D5">
        <v>0</v>
      </c>
      <c r="E5">
        <v>0</v>
      </c>
      <c r="F5">
        <v>0</v>
      </c>
      <c r="G5">
        <v>0</v>
      </c>
      <c r="H5">
        <f>SUM(B5:G5)</f>
        <v>0</v>
      </c>
    </row>
    <row r="6" spans="1:8" x14ac:dyDescent="0.35">
      <c r="A6" t="s">
        <v>17</v>
      </c>
      <c r="B6" s="2">
        <f>B2*B5</f>
        <v>0</v>
      </c>
      <c r="C6" s="2">
        <f t="shared" ref="C6:F6" si="0">C2*C5</f>
        <v>0</v>
      </c>
      <c r="D6" s="2">
        <f t="shared" si="0"/>
        <v>0</v>
      </c>
      <c r="E6" s="2">
        <f t="shared" si="0"/>
        <v>0</v>
      </c>
      <c r="F6" s="2">
        <f t="shared" si="0"/>
        <v>0</v>
      </c>
      <c r="G6" s="2">
        <f>G2*G5</f>
        <v>0</v>
      </c>
      <c r="H6" s="2">
        <f>SUM(B6:G6)</f>
        <v>0</v>
      </c>
    </row>
    <row r="7" spans="1:8" x14ac:dyDescent="0.35">
      <c r="G7" s="2"/>
    </row>
    <row r="8" spans="1:8" x14ac:dyDescent="0.35">
      <c r="B8" t="s">
        <v>18</v>
      </c>
      <c r="C8" t="s">
        <v>19</v>
      </c>
      <c r="D8" t="s">
        <v>20</v>
      </c>
      <c r="E8" t="s">
        <v>46</v>
      </c>
      <c r="F8" t="s">
        <v>71</v>
      </c>
      <c r="G8" t="s">
        <v>54</v>
      </c>
    </row>
    <row r="9" spans="1:8" x14ac:dyDescent="0.35">
      <c r="A9" t="s">
        <v>14</v>
      </c>
      <c r="B9" s="2">
        <v>34</v>
      </c>
      <c r="C9" s="2">
        <v>23.93</v>
      </c>
      <c r="D9" s="2">
        <v>1</v>
      </c>
      <c r="E9" s="2">
        <v>1</v>
      </c>
      <c r="F9" s="1">
        <v>2.5000000000000001E-2</v>
      </c>
      <c r="G9" s="2"/>
    </row>
    <row r="10" spans="1:8" x14ac:dyDescent="0.35">
      <c r="A10" t="s">
        <v>21</v>
      </c>
      <c r="B10" s="6" t="s">
        <v>35</v>
      </c>
      <c r="C10">
        <v>960</v>
      </c>
      <c r="D10">
        <v>120</v>
      </c>
      <c r="E10">
        <v>400</v>
      </c>
      <c r="F10" s="6" t="s">
        <v>39</v>
      </c>
    </row>
    <row r="11" spans="1:8" x14ac:dyDescent="0.35">
      <c r="A11" t="s">
        <v>38</v>
      </c>
      <c r="B11" s="6" t="s">
        <v>39</v>
      </c>
      <c r="C11" s="2">
        <f>C9/C10</f>
        <v>2.4927083333333332E-2</v>
      </c>
      <c r="D11" s="2">
        <f>D9/D10</f>
        <v>8.3333333333333332E-3</v>
      </c>
      <c r="E11" s="2">
        <f>E9/E10</f>
        <v>2.5000000000000001E-3</v>
      </c>
      <c r="F11" s="2">
        <f>SUM(C11:E11)*2/100/F9</f>
        <v>2.8608333333333336E-2</v>
      </c>
      <c r="G11" s="2">
        <f>SUM(C11:E11)+F11</f>
        <v>6.4368750000000002E-2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Card rarity</vt:lpstr>
      <vt:lpstr>New chances</vt:lpstr>
      <vt:lpstr>Sales</vt:lpstr>
      <vt:lpstr>Price &amp; Order Scheme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Seth Green</dc:creator>
  <cp:keywords/>
  <dc:description/>
  <cp:lastModifiedBy>Green, Henry</cp:lastModifiedBy>
  <cp:revision/>
  <dcterms:created xsi:type="dcterms:W3CDTF">2025-09-18T15:13:42Z</dcterms:created>
  <dcterms:modified xsi:type="dcterms:W3CDTF">2025-11-21T22:39:03Z</dcterms:modified>
  <cp:category/>
  <cp:contentStatus/>
</cp:coreProperties>
</file>